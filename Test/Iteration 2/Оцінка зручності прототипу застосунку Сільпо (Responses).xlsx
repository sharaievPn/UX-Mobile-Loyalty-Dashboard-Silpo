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Form Responses 1" sheetId="2" r:id="rId6"/>
  </sheets>
  <definedNames/>
  <calcPr/>
</workbook>
</file>

<file path=xl/sharedStrings.xml><?xml version="1.0" encoding="utf-8"?>
<sst xmlns="http://schemas.openxmlformats.org/spreadsheetml/2006/main" count="86" uniqueCount="31">
  <si>
    <t>1. Я думаю, що хотів(-ла) б користуватися цим застосунком часто.</t>
  </si>
  <si>
    <t>2. Я вважаю, що застосунок є надмірно складним.</t>
  </si>
  <si>
    <t>3. Мені здалося, що користуватися застосунком легко.</t>
  </si>
  <si>
    <t>4. Я думаю, що мені знадобилася б підтримка досвідчених користувачів, щоб мати змогу користуватися цим застосунком.</t>
  </si>
  <si>
    <t>5. Я вважаю, що різні функції застосунка добре інтегровані між собою.</t>
  </si>
  <si>
    <t>6. Я вважаю, що в застосунку є занадто багато невідповідностей.</t>
  </si>
  <si>
    <t>7. Я можу уявити, що більшість людей дуже швидко навчиться користуватися цим застосунком.</t>
  </si>
  <si>
    <t>8. Застосунок здався мені дуже незручним у використанні.</t>
  </si>
  <si>
    <t>9. Я почувався(-лась) дуже впевнено, використовуючи застосунок.</t>
  </si>
  <si>
    <t>10. Мені потрібно було засвоїти багато нового, перш ніж я міг(-ла) розпочати використання цього застосунку.</t>
  </si>
  <si>
    <t>SUS</t>
  </si>
  <si>
    <t>Result SUS</t>
  </si>
  <si>
    <t>Timestamp</t>
  </si>
  <si>
    <t>Код учасника</t>
  </si>
  <si>
    <t>Що вам найбільше сподобалося в застосунку?</t>
  </si>
  <si>
    <t>Що вам найбільше завадило в користуванні або здалося незрозумілим?</t>
  </si>
  <si>
    <t>Загальна оцінка застосунку (1 = дуже погано, 10 = відмінно)</t>
  </si>
  <si>
    <t>P1</t>
  </si>
  <si>
    <t>3 — Нейтрально</t>
  </si>
  <si>
    <t>2 — Не погоджуюся</t>
  </si>
  <si>
    <t>4 — Погоджуюся</t>
  </si>
  <si>
    <t>1 — Зовсім не погоджуюся</t>
  </si>
  <si>
    <t>П02</t>
  </si>
  <si>
    <t>5 — Повністю погоджуюся</t>
  </si>
  <si>
    <t>P5</t>
  </si>
  <si>
    <t>Зрозуміло вказано про пропозиції, вони посортовані, заходи</t>
  </si>
  <si>
    <t>Локація</t>
  </si>
  <si>
    <t>P4</t>
  </si>
  <si>
    <t>P6</t>
  </si>
  <si>
    <t>Знижки, багато знижок</t>
  </si>
  <si>
    <t>Фестивалі (вкладка Розваги) + доставка Loko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</si>
</sst>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right"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3" fillId="2" fontId="2" numFmtId="0" xfId="0" applyAlignment="1" applyBorder="1" applyFont="1">
      <alignment horizontal="right" shrinkToFit="0" vertical="center" wrapText="0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6" displayName="Table1" name="Table1" id="1">
  <tableColumns count="11">
    <tableColumn name="1. Я думаю, що хотів(-ла) б користуватися цим застосунком часто." id="1"/>
    <tableColumn name="2. Я вважаю, що застосунок є надмірно складним." id="2"/>
    <tableColumn name="3. Мені здалося, що користуватися застосунком легко." id="3"/>
    <tableColumn name="4. Я думаю, що мені знадобилася б підтримка досвідчених користувачів, щоб мати змогу користуватися цим застосунком." id="4"/>
    <tableColumn name="5. Я вважаю, що різні функції застосунка добре інтегровані між собою." id="5"/>
    <tableColumn name="6. Я вважаю, що в застосунку є занадто багато невідповідностей." id="6"/>
    <tableColumn name="7. Я можу уявити, що більшість людей дуже швидко навчиться користуватися цим застосунком." id="7"/>
    <tableColumn name="8. Застосунок здався мені дуже незручним у використанні." id="8"/>
    <tableColumn name="9. Я почувався(-лась) дуже впевнено, використовуючи застосунок." id="9"/>
    <tableColumn name="10. Мені потрібно було засвоїти багато нового, перш ніж я міг(-ла) розпочати використання цього застосунку." id="10"/>
    <tableColumn name="SUS" id="1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O6" displayName="Form_Responses" name="Form_Responses" id="2">
  <tableColumns count="15">
    <tableColumn name="Timestamp" id="1"/>
    <tableColumn name="Код учасника" id="2"/>
    <tableColumn name="1. Я думаю, що хотів(-ла) б користуватися цим застосунком часто." id="3"/>
    <tableColumn name="2. Я вважаю, що застосунок є надмірно складним." id="4"/>
    <tableColumn name="3. Мені здалося, що користуватися застосунком легко." id="5"/>
    <tableColumn name="4. Я думаю, що мені знадобилася б підтримка досвідчених користувачів, щоб мати змогу користуватися цим застосунком." id="6"/>
    <tableColumn name="5. Я вважаю, що різні функції застосунка добре інтегровані між собою." id="7"/>
    <tableColumn name="6. Я вважаю, що в застосунку є занадто багато невідповідностей." id="8"/>
    <tableColumn name="7. Я можу уявити, що більшість людей дуже швидко навчиться користуватися цим застосунком." id="9"/>
    <tableColumn name="8. Застосунок здався мені дуже незручним у використанні." id="10"/>
    <tableColumn name="9. Я почувався(-лась) дуже впевнено, використовуючи застосунок." id="11"/>
    <tableColumn name="10. Мені потрібно було засвоїти багато нового, перш ніж я міг(-ла) розпочати використання цього застосунку." id="12"/>
    <tableColumn name="Що вам найбільше сподобалося в застосунку?" id="13"/>
    <tableColumn name="Що вам найбільше завадило в користуванні або здалося незрозумілим?" id="14"/>
    <tableColumn name="Загальна оцінка застосунку (1 = дуже погано, 10 = відмінно)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f>int(left('Form Responses 1'!C2,1))</f>
        <v>3</v>
      </c>
      <c r="B2" s="3">
        <f>int(left('Form Responses 1'!D2,1))</f>
        <v>2</v>
      </c>
      <c r="C2" s="3">
        <f>int(left('Form Responses 1'!E2,1))</f>
        <v>4</v>
      </c>
      <c r="D2" s="3">
        <f>int(left('Form Responses 1'!F2,1))</f>
        <v>2</v>
      </c>
      <c r="E2" s="3">
        <f>int(left('Form Responses 1'!G2,1))</f>
        <v>4</v>
      </c>
      <c r="F2" s="3">
        <f>int(left('Form Responses 1'!H2,1))</f>
        <v>1</v>
      </c>
      <c r="G2" s="3">
        <f>int(left('Form Responses 1'!I2,1))</f>
        <v>4</v>
      </c>
      <c r="H2" s="3">
        <f>int(left('Form Responses 1'!J2,1))</f>
        <v>1</v>
      </c>
      <c r="I2" s="3">
        <f>int(left('Form Responses 1'!K2,1))</f>
        <v>3</v>
      </c>
      <c r="J2" s="3">
        <f>int(left('Form Responses 1'!L2,1))</f>
        <v>2</v>
      </c>
      <c r="K2" s="4">
        <f t="shared" ref="K2:K6" si="1">((A2-1)+(5-B2)+(C2-1)+(5-D2)+(E2-1)+(5-F2)+(G2-1)+(5-H2)+(I2-1)+(5-J2))*2.5</f>
        <v>75</v>
      </c>
    </row>
    <row r="3" ht="22.5" customHeight="1">
      <c r="A3" s="2">
        <f>int(left('Form Responses 1'!C3,1))</f>
        <v>4</v>
      </c>
      <c r="B3" s="3">
        <f>int(left('Form Responses 1'!D3,1))</f>
        <v>2</v>
      </c>
      <c r="C3" s="3">
        <f>int(left('Form Responses 1'!E3,1))</f>
        <v>5</v>
      </c>
      <c r="D3" s="3">
        <f>int(left('Form Responses 1'!F3,1))</f>
        <v>1</v>
      </c>
      <c r="E3" s="3">
        <f>int(left('Form Responses 1'!G3,1))</f>
        <v>4</v>
      </c>
      <c r="F3" s="3">
        <f>int(left('Form Responses 1'!H3,1))</f>
        <v>4</v>
      </c>
      <c r="G3" s="3">
        <f>int(left('Form Responses 1'!I3,1))</f>
        <v>5</v>
      </c>
      <c r="H3" s="3">
        <f>int(left('Form Responses 1'!J3,1))</f>
        <v>2</v>
      </c>
      <c r="I3" s="3">
        <f>int(left('Form Responses 1'!K3,1))</f>
        <v>4</v>
      </c>
      <c r="J3" s="3">
        <f>int(left('Form Responses 1'!L3,1))</f>
        <v>1</v>
      </c>
      <c r="K3" s="4">
        <f t="shared" si="1"/>
        <v>80</v>
      </c>
      <c r="O3" s="5"/>
      <c r="Q3" s="5"/>
      <c r="T3" s="6"/>
      <c r="U3" s="6"/>
      <c r="V3" s="6"/>
    </row>
    <row r="4" ht="22.5" customHeight="1">
      <c r="A4" s="2">
        <f>int(left('Form Responses 1'!C4,1))</f>
        <v>5</v>
      </c>
      <c r="B4" s="3">
        <f>int(left('Form Responses 1'!D4,1))</f>
        <v>1</v>
      </c>
      <c r="C4" s="3">
        <f>int(left('Form Responses 1'!E4,1))</f>
        <v>5</v>
      </c>
      <c r="D4" s="3">
        <f>int(left('Form Responses 1'!F4,1))</f>
        <v>1</v>
      </c>
      <c r="E4" s="3">
        <f>int(left('Form Responses 1'!G4,1))</f>
        <v>5</v>
      </c>
      <c r="F4" s="3">
        <f>int(left('Form Responses 1'!H4,1))</f>
        <v>2</v>
      </c>
      <c r="G4" s="3">
        <f>int(left('Form Responses 1'!I4,1))</f>
        <v>5</v>
      </c>
      <c r="H4" s="3">
        <f>int(left('Form Responses 1'!J4,1))</f>
        <v>5</v>
      </c>
      <c r="I4" s="3">
        <f>int(left('Form Responses 1'!K4,1))</f>
        <v>4</v>
      </c>
      <c r="J4" s="3">
        <f>int(left('Form Responses 1'!L4,1))</f>
        <v>1</v>
      </c>
      <c r="K4" s="4">
        <f t="shared" si="1"/>
        <v>85</v>
      </c>
      <c r="O4" s="5"/>
      <c r="Q4" s="5"/>
      <c r="T4" s="6"/>
      <c r="U4" s="7"/>
      <c r="V4" s="6"/>
    </row>
    <row r="5" ht="22.5" customHeight="1">
      <c r="A5" s="2">
        <f>int(left('Form Responses 1'!C5,1))</f>
        <v>4</v>
      </c>
      <c r="B5" s="3">
        <f>int(left('Form Responses 1'!D5,1))</f>
        <v>2</v>
      </c>
      <c r="C5" s="3">
        <f>int(left('Form Responses 1'!E5,1))</f>
        <v>4</v>
      </c>
      <c r="D5" s="3">
        <f>int(left('Form Responses 1'!F5,1))</f>
        <v>1</v>
      </c>
      <c r="E5" s="3">
        <f>int(left('Form Responses 1'!G5,1))</f>
        <v>4</v>
      </c>
      <c r="F5" s="3">
        <f>int(left('Form Responses 1'!H5,1))</f>
        <v>2</v>
      </c>
      <c r="G5" s="3">
        <f>int(left('Form Responses 1'!I5,1))</f>
        <v>3</v>
      </c>
      <c r="H5" s="3">
        <f>int(left('Form Responses 1'!J5,1))</f>
        <v>1</v>
      </c>
      <c r="I5" s="3">
        <f>int(left('Form Responses 1'!K5,1))</f>
        <v>4</v>
      </c>
      <c r="J5" s="3">
        <f>int(left('Form Responses 1'!L5,1))</f>
        <v>1</v>
      </c>
      <c r="K5" s="4">
        <f t="shared" si="1"/>
        <v>80</v>
      </c>
      <c r="O5" s="5"/>
      <c r="Q5" s="5"/>
      <c r="T5" s="6"/>
      <c r="U5" s="7"/>
      <c r="V5" s="6"/>
    </row>
    <row r="6" ht="22.5" customHeight="1">
      <c r="A6" s="2">
        <f>int(left('Form Responses 1'!C6,1))</f>
        <v>4</v>
      </c>
      <c r="B6" s="3">
        <f>int(left('Form Responses 1'!D6,1))</f>
        <v>2</v>
      </c>
      <c r="C6" s="3">
        <f>int(left('Form Responses 1'!E6,1))</f>
        <v>4</v>
      </c>
      <c r="D6" s="3">
        <f>int(left('Form Responses 1'!F6,1))</f>
        <v>1</v>
      </c>
      <c r="E6" s="3">
        <f>int(left('Form Responses 1'!G6,1))</f>
        <v>3</v>
      </c>
      <c r="F6" s="3">
        <f>int(left('Form Responses 1'!H6,1))</f>
        <v>4</v>
      </c>
      <c r="G6" s="3">
        <f>int(left('Form Responses 1'!I6,1))</f>
        <v>4</v>
      </c>
      <c r="H6" s="3">
        <f>int(left('Form Responses 1'!J6,1))</f>
        <v>1</v>
      </c>
      <c r="I6" s="3">
        <f>int(left('Form Responses 1'!K6,1))</f>
        <v>4</v>
      </c>
      <c r="J6" s="3">
        <f>int(left('Form Responses 1'!L6,1))</f>
        <v>1</v>
      </c>
      <c r="K6" s="4">
        <f t="shared" si="1"/>
        <v>75</v>
      </c>
      <c r="O6" s="5"/>
      <c r="T6" s="6"/>
      <c r="U6" s="5"/>
      <c r="V6" s="6"/>
    </row>
    <row r="7">
      <c r="O7" s="8"/>
      <c r="T7" s="6"/>
      <c r="U7" s="7"/>
      <c r="V7" s="6"/>
    </row>
    <row r="8">
      <c r="O8" s="5"/>
      <c r="T8" s="6"/>
      <c r="U8" s="6"/>
      <c r="V8" s="6"/>
    </row>
    <row r="9">
      <c r="O9" s="5"/>
      <c r="T9" s="6"/>
      <c r="U9" s="6"/>
      <c r="V9" s="6"/>
    </row>
    <row r="10">
      <c r="A10" s="9" t="s">
        <v>11</v>
      </c>
      <c r="B10" s="8">
        <f>AVERAGE(K:K)</f>
        <v>79</v>
      </c>
      <c r="O10" s="5"/>
      <c r="T10" s="6"/>
      <c r="U10" s="7"/>
      <c r="V10" s="6"/>
    </row>
    <row r="11">
      <c r="O11" s="5"/>
      <c r="T11" s="6"/>
      <c r="U11" s="7"/>
      <c r="V11" s="6"/>
    </row>
    <row r="12">
      <c r="O12" s="7"/>
      <c r="T12" s="6"/>
      <c r="U12" s="7"/>
      <c r="V12" s="6"/>
    </row>
    <row r="13">
      <c r="O13" s="5"/>
      <c r="T13" s="6"/>
      <c r="U13" s="7"/>
      <c r="V13" s="6"/>
    </row>
    <row r="14">
      <c r="O14" s="5"/>
      <c r="T14" s="6"/>
      <c r="U14" s="7"/>
      <c r="V14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5" width="37.63"/>
    <col customWidth="1" min="16" max="33" width="18.88"/>
  </cols>
  <sheetData>
    <row r="1" ht="22.5" customHeight="1">
      <c r="A1" s="1" t="s">
        <v>12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14</v>
      </c>
      <c r="N1" s="1" t="s">
        <v>15</v>
      </c>
      <c r="O1" s="1" t="s">
        <v>16</v>
      </c>
    </row>
    <row r="2" ht="22.5" customHeight="1">
      <c r="A2" s="10">
        <v>46131.53765424769</v>
      </c>
      <c r="B2" s="11" t="s">
        <v>17</v>
      </c>
      <c r="C2" s="11" t="s">
        <v>18</v>
      </c>
      <c r="D2" s="11" t="s">
        <v>19</v>
      </c>
      <c r="E2" s="11" t="s">
        <v>20</v>
      </c>
      <c r="F2" s="11" t="s">
        <v>19</v>
      </c>
      <c r="G2" s="11" t="s">
        <v>20</v>
      </c>
      <c r="H2" s="11" t="s">
        <v>21</v>
      </c>
      <c r="I2" s="11" t="s">
        <v>20</v>
      </c>
      <c r="J2" s="11" t="s">
        <v>21</v>
      </c>
      <c r="K2" s="11" t="s">
        <v>18</v>
      </c>
      <c r="L2" s="11" t="s">
        <v>19</v>
      </c>
      <c r="M2" s="12"/>
      <c r="N2" s="12"/>
      <c r="O2" s="11">
        <v>9.0</v>
      </c>
    </row>
    <row r="3" ht="22.5" customHeight="1">
      <c r="A3" s="10">
        <v>46131.83201371528</v>
      </c>
      <c r="B3" s="11" t="s">
        <v>22</v>
      </c>
      <c r="C3" s="11" t="s">
        <v>20</v>
      </c>
      <c r="D3" s="11" t="s">
        <v>19</v>
      </c>
      <c r="E3" s="11" t="s">
        <v>23</v>
      </c>
      <c r="F3" s="11" t="s">
        <v>21</v>
      </c>
      <c r="G3" s="11" t="s">
        <v>20</v>
      </c>
      <c r="H3" s="11" t="s">
        <v>20</v>
      </c>
      <c r="I3" s="11" t="s">
        <v>23</v>
      </c>
      <c r="J3" s="11" t="s">
        <v>19</v>
      </c>
      <c r="K3" s="11" t="s">
        <v>20</v>
      </c>
      <c r="L3" s="11" t="s">
        <v>21</v>
      </c>
      <c r="M3" s="12"/>
      <c r="N3" s="12"/>
      <c r="O3" s="11">
        <v>6.0</v>
      </c>
    </row>
    <row r="4" ht="22.5" customHeight="1">
      <c r="A4" s="10">
        <v>46131.98947221065</v>
      </c>
      <c r="B4" s="11" t="s">
        <v>24</v>
      </c>
      <c r="C4" s="11" t="s">
        <v>23</v>
      </c>
      <c r="D4" s="11" t="s">
        <v>21</v>
      </c>
      <c r="E4" s="11" t="s">
        <v>23</v>
      </c>
      <c r="F4" s="11" t="s">
        <v>21</v>
      </c>
      <c r="G4" s="11" t="s">
        <v>23</v>
      </c>
      <c r="H4" s="11" t="s">
        <v>19</v>
      </c>
      <c r="I4" s="11" t="s">
        <v>23</v>
      </c>
      <c r="J4" s="11" t="s">
        <v>23</v>
      </c>
      <c r="K4" s="11" t="s">
        <v>20</v>
      </c>
      <c r="L4" s="11" t="s">
        <v>21</v>
      </c>
      <c r="M4" s="11" t="s">
        <v>25</v>
      </c>
      <c r="N4" s="11" t="s">
        <v>26</v>
      </c>
      <c r="O4" s="11">
        <v>10.0</v>
      </c>
    </row>
    <row r="5" ht="22.5" customHeight="1">
      <c r="A5" s="13">
        <v>46133.83156730324</v>
      </c>
      <c r="B5" s="14" t="s">
        <v>27</v>
      </c>
      <c r="C5" s="14" t="s">
        <v>20</v>
      </c>
      <c r="D5" s="14" t="s">
        <v>19</v>
      </c>
      <c r="E5" s="14" t="s">
        <v>20</v>
      </c>
      <c r="F5" s="14" t="s">
        <v>21</v>
      </c>
      <c r="G5" s="14" t="s">
        <v>20</v>
      </c>
      <c r="H5" s="14" t="s">
        <v>19</v>
      </c>
      <c r="I5" s="14" t="s">
        <v>18</v>
      </c>
      <c r="J5" s="14" t="s">
        <v>21</v>
      </c>
      <c r="K5" s="14" t="s">
        <v>20</v>
      </c>
      <c r="L5" s="14" t="s">
        <v>21</v>
      </c>
      <c r="O5" s="14">
        <v>8.0</v>
      </c>
    </row>
    <row r="6" ht="22.5" customHeight="1">
      <c r="A6" s="13">
        <v>46134.93315712963</v>
      </c>
      <c r="B6" s="14" t="s">
        <v>28</v>
      </c>
      <c r="C6" s="14" t="s">
        <v>20</v>
      </c>
      <c r="D6" s="14" t="s">
        <v>19</v>
      </c>
      <c r="E6" s="14" t="s">
        <v>20</v>
      </c>
      <c r="F6" s="14" t="s">
        <v>21</v>
      </c>
      <c r="G6" s="14" t="s">
        <v>18</v>
      </c>
      <c r="H6" s="14" t="s">
        <v>20</v>
      </c>
      <c r="I6" s="14" t="s">
        <v>20</v>
      </c>
      <c r="J6" s="14" t="s">
        <v>21</v>
      </c>
      <c r="K6" s="14" t="s">
        <v>20</v>
      </c>
      <c r="L6" s="14" t="s">
        <v>21</v>
      </c>
      <c r="M6" s="14" t="s">
        <v>29</v>
      </c>
      <c r="N6" s="14" t="s">
        <v>30</v>
      </c>
      <c r="O6" s="14">
        <v>8.0</v>
      </c>
    </row>
  </sheetData>
  <drawing r:id="rId1"/>
  <tableParts count="1">
    <tablePart r:id="rId3"/>
  </tableParts>
</worksheet>
</file>